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<sst xmlns="http://schemas.openxmlformats.org/spreadsheetml/2006/main" count="72" uniqueCount="59">
  <si>
    <t xml:space="preserve">Week 3 – Computation</t>
  </si>
  <si>
    <t xml:space="preserve">P1.</t>
  </si>
  <si>
    <t xml:space="preserve">Computation of d(0,4)</t>
  </si>
  <si>
    <t xml:space="preserve">Rates</t>
  </si>
  <si>
    <t xml:space="preserve">function used 1/(1+r)^n</t>
  </si>
  <si>
    <t xml:space="preserve">or </t>
  </si>
  <si>
    <t xml:space="preserve">Answer</t>
  </si>
  <si>
    <t xml:space="preserve">P2</t>
  </si>
  <si>
    <t xml:space="preserve">Computation of Fixed Rate in Swaps</t>
  </si>
  <si>
    <t xml:space="preserve">Fixed Rate = </t>
  </si>
  <si>
    <t xml:space="preserve">1- floating rate d / sum of fixed rate</t>
  </si>
  <si>
    <t xml:space="preserve">T =6</t>
  </si>
  <si>
    <t xml:space="preserve">T1</t>
  </si>
  <si>
    <t xml:space="preserve">T2</t>
  </si>
  <si>
    <t xml:space="preserve">T3</t>
  </si>
  <si>
    <t xml:space="preserve">T4</t>
  </si>
  <si>
    <t xml:space="preserve">T5</t>
  </si>
  <si>
    <t xml:space="preserve">T6</t>
  </si>
  <si>
    <t xml:space="preserve">Discount rate</t>
  </si>
  <si>
    <t xml:space="preserve">Sum of Discount rates</t>
  </si>
  <si>
    <t xml:space="preserve">Thus fixed rate  = </t>
  </si>
  <si>
    <t xml:space="preserve">1-d(0,6)/sum(discount t1 to t6)</t>
  </si>
  <si>
    <t xml:space="preserve">P3</t>
  </si>
  <si>
    <t xml:space="preserve">Given the float price is 118.65 thus the same is the risk free amount that can be received</t>
  </si>
  <si>
    <t xml:space="preserve">P4</t>
  </si>
  <si>
    <t xml:space="preserve">Computing the number of contract required to hedge</t>
  </si>
  <si>
    <t xml:space="preserve">Product</t>
  </si>
  <si>
    <t xml:space="preserve">Grape Fruit</t>
  </si>
  <si>
    <t xml:space="preserve">Available Future</t>
  </si>
  <si>
    <t xml:space="preserve">Orange</t>
  </si>
  <si>
    <t xml:space="preserve">Total Quantity</t>
  </si>
  <si>
    <t xml:space="preserve">Contract Size</t>
  </si>
  <si>
    <t xml:space="preserve">To Hedge Orange </t>
  </si>
  <si>
    <t xml:space="preserve">Given sd </t>
  </si>
  <si>
    <t xml:space="preserve">Grape</t>
  </si>
  <si>
    <t xml:space="preserve">Correlation</t>
  </si>
  <si>
    <t xml:space="preserve">Thus contract required for grape is </t>
  </si>
  <si>
    <t xml:space="preserve">P5</t>
  </si>
  <si>
    <t xml:space="preserve">Valuation of Call Options </t>
  </si>
  <si>
    <t xml:space="preserve">1 period binomial model</t>
  </si>
  <si>
    <t xml:space="preserve">S0 </t>
  </si>
  <si>
    <t xml:space="preserve">u</t>
  </si>
  <si>
    <t xml:space="preserve">R</t>
  </si>
  <si>
    <t xml:space="preserve">K</t>
  </si>
  <si>
    <t xml:space="preserve">Cu</t>
  </si>
  <si>
    <t xml:space="preserve">max(S0* u – K,0)</t>
  </si>
  <si>
    <t xml:space="preserve">Cd</t>
  </si>
  <si>
    <t xml:space="preserve">max(S0* d – K,0)</t>
  </si>
  <si>
    <t xml:space="preserve">q</t>
  </si>
  <si>
    <t xml:space="preserve">R-d / u-d</t>
  </si>
  <si>
    <t xml:space="preserve">Value </t>
  </si>
  <si>
    <t xml:space="preserve">Cu *q +(1-q)*Cd/R</t>
  </si>
  <si>
    <t xml:space="preserve">q </t>
  </si>
  <si>
    <t xml:space="preserve">P6</t>
  </si>
  <si>
    <t xml:space="preserve">Computation of the amount to be invested in cash</t>
  </si>
  <si>
    <t xml:space="preserve">S0x</t>
  </si>
  <si>
    <t xml:space="preserve">Cu-Cd/u-d</t>
  </si>
  <si>
    <t xml:space="preserve">y </t>
  </si>
  <si>
    <t xml:space="preserve">Cu-S0x*u/R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</si>
</sst>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6"/>
  <sheetViews>
    <sheetView showFormulas="false" showGridLines="true" showRowColHeaders="true" showZeros="true" rightToLeft="false" tabSelected="true" showOutlineSymbols="true" defaultGridColor="true" view="normal" topLeftCell="A54" colorId="64" zoomScale="100" zoomScaleNormal="100" zoomScalePageLayoutView="100" workbookViewId="0">
      <selection pane="topLeft" activeCell="D73" activeCellId="0" sqref="D7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</row>
    <row r="3" customFormat="false" ht="12.8" hidden="false" customHeight="false" outlineLevel="0" collapsed="false">
      <c r="A3" s="1" t="s">
        <v>1</v>
      </c>
      <c r="B3" s="1" t="s">
        <v>2</v>
      </c>
    </row>
    <row r="5" customFormat="false" ht="12.8" hidden="false" customHeight="false" outlineLevel="0" collapsed="false">
      <c r="B5" s="2" t="s">
        <v>3</v>
      </c>
      <c r="C5" s="2" t="n">
        <v>1</v>
      </c>
      <c r="D5" s="2" t="n">
        <v>2</v>
      </c>
      <c r="E5" s="2" t="n">
        <v>3</v>
      </c>
      <c r="F5" s="2" t="n">
        <v>4</v>
      </c>
      <c r="G5" s="2" t="n">
        <v>5</v>
      </c>
      <c r="H5" s="2" t="n">
        <v>6</v>
      </c>
    </row>
    <row r="6" customFormat="false" ht="12.8" hidden="false" customHeight="false" outlineLevel="0" collapsed="false">
      <c r="C6" s="2" t="n">
        <v>7</v>
      </c>
      <c r="D6" s="2" t="n">
        <v>7.3</v>
      </c>
      <c r="E6" s="2" t="n">
        <v>7.7</v>
      </c>
      <c r="F6" s="2" t="n">
        <v>8.1</v>
      </c>
      <c r="G6" s="2" t="n">
        <v>8.4</v>
      </c>
      <c r="H6" s="2" t="n">
        <v>8.8</v>
      </c>
    </row>
    <row r="8" customFormat="false" ht="12.8" hidden="false" customHeight="false" outlineLevel="0" collapsed="false">
      <c r="B8" s="2" t="s">
        <v>2</v>
      </c>
    </row>
    <row r="10" customFormat="false" ht="12.8" hidden="false" customHeight="false" outlineLevel="0" collapsed="false">
      <c r="B10" s="2" t="s">
        <v>4</v>
      </c>
      <c r="E10" s="2" t="n">
        <f aca="false">+1/(1+0.081)^4</f>
        <v>0.732313810053661</v>
      </c>
      <c r="F10" s="2" t="s">
        <v>5</v>
      </c>
    </row>
    <row r="11" customFormat="false" ht="12.8" hidden="false" customHeight="false" outlineLevel="0" collapsed="false">
      <c r="B11" s="2"/>
      <c r="E11" s="2"/>
      <c r="F11" s="2"/>
    </row>
    <row r="12" customFormat="false" ht="12.8" hidden="false" customHeight="false" outlineLevel="0" collapsed="false">
      <c r="B12" s="2"/>
      <c r="C12" s="0" t="s">
        <v>6</v>
      </c>
      <c r="D12" s="1" t="n">
        <v>0.732</v>
      </c>
      <c r="E12" s="2"/>
      <c r="F12" s="2"/>
      <c r="G12" s="1"/>
    </row>
    <row r="15" customFormat="false" ht="12.8" hidden="false" customHeight="false" outlineLevel="0" collapsed="false">
      <c r="A15" s="1" t="s">
        <v>7</v>
      </c>
      <c r="B15" s="1" t="s">
        <v>8</v>
      </c>
    </row>
    <row r="17" customFormat="false" ht="12.8" hidden="false" customHeight="false" outlineLevel="0" collapsed="false">
      <c r="B17" s="2" t="s">
        <v>9</v>
      </c>
      <c r="C17" s="2" t="s">
        <v>10</v>
      </c>
    </row>
    <row r="19" customFormat="false" ht="12.8" hidden="false" customHeight="false" outlineLevel="0" collapsed="false">
      <c r="B19" s="2" t="s">
        <v>11</v>
      </c>
    </row>
    <row r="20" customFormat="false" ht="12.8" hidden="false" customHeight="false" outlineLevel="0" collapsed="false">
      <c r="C20" s="3" t="s">
        <v>12</v>
      </c>
      <c r="D20" s="3" t="s">
        <v>13</v>
      </c>
      <c r="E20" s="3" t="s">
        <v>14</v>
      </c>
      <c r="F20" s="3" t="s">
        <v>15</v>
      </c>
      <c r="G20" s="3" t="s">
        <v>16</v>
      </c>
      <c r="H20" s="3" t="s">
        <v>17</v>
      </c>
    </row>
    <row r="21" customFormat="false" ht="12.8" hidden="false" customHeight="false" outlineLevel="0" collapsed="false">
      <c r="B21" s="2" t="s">
        <v>18</v>
      </c>
      <c r="C21" s="2" t="n">
        <f aca="false">+ROUND(1/(1+C6/100),2)</f>
        <v>0.93</v>
      </c>
      <c r="D21" s="2" t="n">
        <f aca="false">+ROUND(1/(1+D6/100)^2,2)</f>
        <v>0.87</v>
      </c>
      <c r="E21" s="2" t="n">
        <f aca="false">+ROUND(1/(1+E6/100)^3,2)</f>
        <v>0.8</v>
      </c>
      <c r="F21" s="2" t="n">
        <f aca="false">+ROUND(1/(1+F6/100)^4,2)</f>
        <v>0.73</v>
      </c>
      <c r="G21" s="2" t="n">
        <f aca="false">+ROUND(1/(1+G6/100)^5,2)</f>
        <v>0.67</v>
      </c>
      <c r="H21" s="2" t="n">
        <f aca="false">+ROUND(1/(1+H6/100)^6,2)</f>
        <v>0.6</v>
      </c>
    </row>
    <row r="22" customFormat="false" ht="12.8" hidden="false" customHeight="false" outlineLevel="0" collapsed="false">
      <c r="B22" s="2" t="s">
        <v>19</v>
      </c>
      <c r="D22" s="2" t="n">
        <f aca="false">+SUM(C21:H21)</f>
        <v>4.6</v>
      </c>
    </row>
    <row r="25" customFormat="false" ht="12.8" hidden="false" customHeight="false" outlineLevel="0" collapsed="false">
      <c r="B25" s="2" t="s">
        <v>20</v>
      </c>
      <c r="D25" s="0" t="s">
        <v>21</v>
      </c>
      <c r="G25" s="2" t="n">
        <f aca="false">+1-H21/D22</f>
        <v>0.869565217391304</v>
      </c>
    </row>
    <row r="26" customFormat="false" ht="12.8" hidden="false" customHeight="false" outlineLevel="0" collapsed="false">
      <c r="E26" s="2"/>
      <c r="G26" s="2"/>
    </row>
    <row r="27" customFormat="false" ht="12.8" hidden="false" customHeight="false" outlineLevel="0" collapsed="false">
      <c r="C27" s="0" t="s">
        <v>6</v>
      </c>
      <c r="D27" s="1" t="n">
        <v>8.62</v>
      </c>
    </row>
    <row r="29" customFormat="false" ht="12.8" hidden="false" customHeight="false" outlineLevel="0" collapsed="false">
      <c r="D29" s="1"/>
    </row>
    <row r="30" customFormat="false" ht="12.8" hidden="false" customHeight="false" outlineLevel="0" collapsed="false">
      <c r="A30" s="1" t="s">
        <v>22</v>
      </c>
      <c r="B30" s="1" t="s">
        <v>23</v>
      </c>
    </row>
    <row r="32" customFormat="false" ht="12.8" hidden="false" customHeight="false" outlineLevel="0" collapsed="false">
      <c r="A32" s="1" t="s">
        <v>24</v>
      </c>
      <c r="B32" s="1" t="s">
        <v>25</v>
      </c>
    </row>
    <row r="34" customFormat="false" ht="12.8" hidden="false" customHeight="false" outlineLevel="0" collapsed="false">
      <c r="B34" s="2" t="s">
        <v>26</v>
      </c>
      <c r="D34" s="2" t="s">
        <v>27</v>
      </c>
    </row>
    <row r="35" customFormat="false" ht="12.8" hidden="false" customHeight="false" outlineLevel="0" collapsed="false">
      <c r="B35" s="2" t="s">
        <v>28</v>
      </c>
      <c r="D35" s="2" t="s">
        <v>29</v>
      </c>
    </row>
    <row r="37" customFormat="false" ht="12.8" hidden="false" customHeight="false" outlineLevel="0" collapsed="false">
      <c r="B37" s="2" t="s">
        <v>30</v>
      </c>
      <c r="D37" s="2" t="n">
        <v>150000</v>
      </c>
    </row>
    <row r="38" customFormat="false" ht="12.8" hidden="false" customHeight="false" outlineLevel="0" collapsed="false">
      <c r="B38" s="2" t="s">
        <v>31</v>
      </c>
      <c r="D38" s="2" t="n">
        <v>15000</v>
      </c>
    </row>
    <row r="39" customFormat="false" ht="12.8" hidden="false" customHeight="false" outlineLevel="0" collapsed="false">
      <c r="B39" s="2" t="s">
        <v>32</v>
      </c>
      <c r="D39" s="2" t="n">
        <f aca="false">+D37/D38</f>
        <v>10</v>
      </c>
    </row>
    <row r="41" customFormat="false" ht="12.8" hidden="false" customHeight="false" outlineLevel="0" collapsed="false">
      <c r="B41" s="2" t="s">
        <v>33</v>
      </c>
      <c r="C41" s="2" t="s">
        <v>34</v>
      </c>
      <c r="D41" s="2" t="n">
        <v>0.25</v>
      </c>
    </row>
    <row r="42" customFormat="false" ht="12.8" hidden="false" customHeight="false" outlineLevel="0" collapsed="false">
      <c r="C42" s="2" t="s">
        <v>29</v>
      </c>
      <c r="D42" s="2" t="n">
        <v>0.2</v>
      </c>
    </row>
    <row r="44" customFormat="false" ht="12.8" hidden="false" customHeight="false" outlineLevel="0" collapsed="false">
      <c r="B44" s="2" t="s">
        <v>35</v>
      </c>
      <c r="D44" s="2" t="n">
        <v>0.7</v>
      </c>
    </row>
    <row r="46" customFormat="false" ht="12.8" hidden="false" customHeight="false" outlineLevel="0" collapsed="false">
      <c r="B46" s="2" t="s">
        <v>36</v>
      </c>
      <c r="E46" s="2" t="n">
        <f aca="false">+D39*D41/D42*D44</f>
        <v>8.75</v>
      </c>
      <c r="F46" s="2" t="s">
        <v>5</v>
      </c>
    </row>
    <row r="47" customFormat="false" ht="12.8" hidden="false" customHeight="false" outlineLevel="0" collapsed="false">
      <c r="B47" s="2"/>
      <c r="E47" s="2"/>
      <c r="F47" s="2"/>
      <c r="G47" s="1"/>
    </row>
    <row r="48" customFormat="false" ht="12.8" hidden="false" customHeight="false" outlineLevel="0" collapsed="false">
      <c r="C48" s="0" t="s">
        <v>6</v>
      </c>
      <c r="D48" s="1" t="n">
        <v>9</v>
      </c>
    </row>
    <row r="50" customFormat="false" ht="12.8" hidden="false" customHeight="false" outlineLevel="0" collapsed="false">
      <c r="A50" s="1" t="s">
        <v>37</v>
      </c>
      <c r="B50" s="1" t="s">
        <v>38</v>
      </c>
    </row>
    <row r="52" customFormat="false" ht="12.8" hidden="false" customHeight="false" outlineLevel="0" collapsed="false">
      <c r="B52" s="2" t="s">
        <v>39</v>
      </c>
    </row>
    <row r="54" customFormat="false" ht="12.8" hidden="false" customHeight="false" outlineLevel="0" collapsed="false">
      <c r="B54" s="2" t="s">
        <v>40</v>
      </c>
      <c r="C54" s="2" t="n">
        <v>100</v>
      </c>
    </row>
    <row r="55" customFormat="false" ht="12.8" hidden="false" customHeight="false" outlineLevel="0" collapsed="false">
      <c r="B55" s="2" t="s">
        <v>41</v>
      </c>
      <c r="C55" s="2" t="n">
        <v>1.05</v>
      </c>
    </row>
    <row r="56" customFormat="false" ht="12.8" hidden="false" customHeight="false" outlineLevel="0" collapsed="false">
      <c r="B56" s="2" t="s">
        <v>18</v>
      </c>
      <c r="C56" s="2" t="n">
        <f aca="false">+1/C55</f>
        <v>0.952380952380952</v>
      </c>
    </row>
    <row r="57" customFormat="false" ht="12.8" hidden="false" customHeight="false" outlineLevel="0" collapsed="false">
      <c r="B57" s="2" t="s">
        <v>42</v>
      </c>
      <c r="C57" s="2" t="n">
        <v>1.02</v>
      </c>
    </row>
    <row r="58" customFormat="false" ht="12.8" hidden="false" customHeight="false" outlineLevel="0" collapsed="false">
      <c r="B58" s="2" t="s">
        <v>43</v>
      </c>
      <c r="C58" s="2" t="n">
        <v>102</v>
      </c>
    </row>
    <row r="60" customFormat="false" ht="12.8" hidden="false" customHeight="false" outlineLevel="0" collapsed="false">
      <c r="B60" s="2" t="s">
        <v>44</v>
      </c>
      <c r="C60" s="2" t="s">
        <v>45</v>
      </c>
      <c r="E60" s="2" t="n">
        <v>3</v>
      </c>
    </row>
    <row r="61" customFormat="false" ht="12.8" hidden="false" customHeight="false" outlineLevel="0" collapsed="false">
      <c r="B61" s="2" t="s">
        <v>46</v>
      </c>
      <c r="C61" s="2" t="s">
        <v>47</v>
      </c>
      <c r="E61" s="2" t="n">
        <v>0</v>
      </c>
    </row>
    <row r="63" customFormat="false" ht="12.8" hidden="false" customHeight="false" outlineLevel="0" collapsed="false">
      <c r="B63" s="2" t="s">
        <v>48</v>
      </c>
      <c r="C63" s="2" t="s">
        <v>49</v>
      </c>
      <c r="E63" s="2" t="n">
        <f aca="false">+C57-C56</f>
        <v>0.067619047619048</v>
      </c>
      <c r="F63" s="2" t="n">
        <f aca="false">+C55-C56</f>
        <v>0.0976190476190477</v>
      </c>
      <c r="G63" s="2" t="n">
        <f aca="false">+E63/F63</f>
        <v>0.692682926829272</v>
      </c>
    </row>
    <row r="65" customFormat="false" ht="12.8" hidden="false" customHeight="false" outlineLevel="0" collapsed="false">
      <c r="B65" s="2" t="s">
        <v>50</v>
      </c>
      <c r="C65" s="2" t="s">
        <v>51</v>
      </c>
    </row>
    <row r="67" customFormat="false" ht="12.8" hidden="false" customHeight="false" outlineLevel="0" collapsed="false">
      <c r="B67" s="2" t="s">
        <v>44</v>
      </c>
      <c r="C67" s="2" t="n">
        <v>3</v>
      </c>
    </row>
    <row r="68" customFormat="false" ht="12.8" hidden="false" customHeight="false" outlineLevel="0" collapsed="false">
      <c r="B68" s="2" t="s">
        <v>46</v>
      </c>
      <c r="C68" s="2" t="n">
        <v>0</v>
      </c>
    </row>
    <row r="70" customFormat="false" ht="12.8" hidden="false" customHeight="false" outlineLevel="0" collapsed="false">
      <c r="B70" s="2" t="s">
        <v>52</v>
      </c>
      <c r="C70" s="2" t="n">
        <f aca="false">+G63</f>
        <v>0.692682926829272</v>
      </c>
    </row>
    <row r="72" customFormat="false" ht="12.8" hidden="false" customHeight="false" outlineLevel="0" collapsed="false">
      <c r="B72" s="2" t="s">
        <v>50</v>
      </c>
      <c r="C72" s="2" t="n">
        <f aca="false">+3*C70+(1-C70)*0</f>
        <v>2.07804878048782</v>
      </c>
      <c r="D72" s="2" t="n">
        <f aca="false">+C72/1.02</f>
        <v>2.03730272596845</v>
      </c>
      <c r="E72" s="2" t="s">
        <v>5</v>
      </c>
    </row>
    <row r="73" customFormat="false" ht="12.8" hidden="false" customHeight="false" outlineLevel="0" collapsed="false">
      <c r="B73" s="2"/>
      <c r="C73" s="1" t="s">
        <v>6</v>
      </c>
      <c r="D73" s="1" t="n">
        <v>2.04</v>
      </c>
      <c r="E73" s="2"/>
      <c r="F73" s="1"/>
    </row>
    <row r="76" customFormat="false" ht="12.8" hidden="false" customHeight="false" outlineLevel="0" collapsed="false">
      <c r="A76" s="1" t="s">
        <v>53</v>
      </c>
      <c r="B76" s="1" t="s">
        <v>54</v>
      </c>
    </row>
    <row r="78" customFormat="false" ht="12.8" hidden="false" customHeight="false" outlineLevel="0" collapsed="false">
      <c r="B78" s="2" t="s">
        <v>55</v>
      </c>
      <c r="C78" s="2" t="s">
        <v>56</v>
      </c>
      <c r="D78" s="2" t="n">
        <f aca="false">+3/(F78-G78)</f>
        <v>30.7317073170731</v>
      </c>
      <c r="F78" s="2" t="n">
        <v>1.05</v>
      </c>
      <c r="G78" s="2" t="n">
        <f aca="false">+1/1.05</f>
        <v>0.952380952380952</v>
      </c>
    </row>
    <row r="81" customFormat="false" ht="12.8" hidden="false" customHeight="false" outlineLevel="0" collapsed="false">
      <c r="B81" s="2" t="s">
        <v>57</v>
      </c>
      <c r="C81" s="2" t="s">
        <v>58</v>
      </c>
    </row>
    <row r="83" customFormat="false" ht="12.8" hidden="false" customHeight="false" outlineLevel="0" collapsed="false">
      <c r="C83" s="2" t="n">
        <f aca="false">+3-(D78*1.05)/1.02</f>
        <v>-28.6355810616929</v>
      </c>
      <c r="E83" s="2" t="s">
        <v>5</v>
      </c>
    </row>
    <row r="86" customFormat="false" ht="12.8" hidden="false" customHeight="false" outlineLevel="0" collapsed="false">
      <c r="C86" s="1" t="s">
        <v>6</v>
      </c>
      <c r="D86" s="1" t="n">
        <v>28.64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LibreOffice/7.0.5.2$Windows_X86_64 LibreOffice_project/64390860c6cd0aca4beafafcfd84613dd9dfb63a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2021-03-22T08:15:53Z</dcterms:created>
  <dc:creator/>
  <dc:description/>
  <dc:language>en-US</dc:language>
  <cp:lastModifiedBy/>
  <dcterms:modified xsi:type="dcterms:W3CDTF">2021-03-22T08:26:22Z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